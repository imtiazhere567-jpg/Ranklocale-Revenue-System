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b2026" sheetId="1" r:id="rId5"/>
  </sheets>
  <definedNames/>
  <calcPr/>
</workbook>
</file>

<file path=xl/sharedStrings.xml><?xml version="1.0" encoding="utf-8"?>
<sst xmlns="http://schemas.openxmlformats.org/spreadsheetml/2006/main" count="33" uniqueCount="33">
  <si>
    <t>Contract Name</t>
  </si>
  <si>
    <t>Date</t>
  </si>
  <si>
    <t>Deadline</t>
  </si>
  <si>
    <t>Workspace</t>
  </si>
  <si>
    <t>Approved Date</t>
  </si>
  <si>
    <t>If delayed then Expected what was the reason</t>
  </si>
  <si>
    <t>Client Name</t>
  </si>
  <si>
    <t>BDO</t>
  </si>
  <si>
    <t>Platform</t>
  </si>
  <si>
    <t>Platform Profile</t>
  </si>
  <si>
    <t>Payment Channel</t>
  </si>
  <si>
    <t>Client-Type</t>
  </si>
  <si>
    <t>(Estimated)Total Sales Revenue</t>
  </si>
  <si>
    <t>Recovered</t>
  </si>
  <si>
    <t>Pending</t>
  </si>
  <si>
    <t xml:space="preserve">Total Sales </t>
  </si>
  <si>
    <t>Total Recovered</t>
  </si>
  <si>
    <t>Total Pending</t>
  </si>
  <si>
    <t>Estimation Recoveries</t>
  </si>
  <si>
    <t>Total Estimated Recoveries this month</t>
  </si>
  <si>
    <t>Overall Recoveries in Jan</t>
  </si>
  <si>
    <t>Total Recoveries in Feb</t>
  </si>
  <si>
    <t>WP-WD-Bria-Monthly Retainer-Shahab-Outside</t>
  </si>
  <si>
    <t>Recovery of Feb projects</t>
  </si>
  <si>
    <t>WD-TD-Fitness-Iliana-Shahab</t>
  </si>
  <si>
    <t>Recovered in Feb</t>
  </si>
  <si>
    <t>wf-fx-hyperepublic-james-shahab</t>
  </si>
  <si>
    <t>Isaac</t>
  </si>
  <si>
    <t>Oliver</t>
  </si>
  <si>
    <t>WP-WD-Pest-Ryan-Numan</t>
  </si>
  <si>
    <t>Seraphyx</t>
  </si>
  <si>
    <t>James</t>
  </si>
  <si>
    <t>Anthony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</si>
</sst>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&quot;$&quot;#,##0.00"/>
    <numFmt numFmtId="165" formatCode="mmmm d"/>
    <numFmt numFmtId="166" formatCode="&quot;$&quot;#,##0"/>
    <numFmt numFmtId="167" formatCode="mmm d"/>
  </numFmts>
  <fonts count="10">
    <font>
      <sz val="10.0"/>
      <color rgb="FF000000"/>
      <name val="Arial"/>
      <scheme val="minor"/>
    </font>
    <font>
      <b/>
      <color theme="1"/>
      <name val="Arial"/>
    </font>
    <font>
      <b/>
      <color theme="1"/>
      <name val="Arial"/>
      <scheme val="minor"/>
    </font>
    <font>
      <b/>
      <color theme="1"/>
      <name val="Nunito"/>
    </font>
    <font>
      <color theme="1"/>
      <name val="Arial"/>
      <scheme val="minor"/>
    </font>
    <font>
      <sz val="9.0"/>
      <color rgb="FF000000"/>
      <name val="&quot;Google Sans Mono&quot;"/>
    </font>
    <font>
      <color theme="1"/>
      <name val="Arial"/>
    </font>
    <font>
      <color theme="1"/>
      <name val="Nunito"/>
    </font>
    <font>
      <sz val="11.0"/>
      <color rgb="FF1D1C1D"/>
      <name val="Arial"/>
    </font>
    <font>
      <sz val="11.0"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D966"/>
        <bgColor rgb="FFFFD966"/>
      </patternFill>
    </fill>
    <fill>
      <patternFill patternType="solid">
        <fgColor rgb="FFFFFFFF"/>
        <bgColor rgb="FFFFFFFF"/>
      </patternFill>
    </fill>
  </fills>
  <borders count="3">
    <border/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wrapText="1"/>
    </xf>
    <xf borderId="0" fillId="2" fontId="1" numFmtId="0" xfId="0" applyAlignment="1" applyFont="1">
      <alignment horizontal="center" readingOrder="0" shrinkToFit="0" wrapText="1"/>
    </xf>
    <xf borderId="0" fillId="2" fontId="1" numFmtId="164" xfId="0" applyAlignment="1" applyFont="1" applyNumberFormat="1">
      <alignment horizontal="center" readingOrder="0" shrinkToFit="0" wrapText="1"/>
    </xf>
    <xf borderId="0" fillId="2" fontId="2" numFmtId="0" xfId="0" applyAlignment="1" applyFont="1">
      <alignment readingOrder="0"/>
    </xf>
    <xf borderId="0" fillId="2" fontId="2" numFmtId="0" xfId="0" applyFont="1"/>
    <xf borderId="1" fillId="0" fontId="3" numFmtId="0" xfId="0" applyAlignment="1" applyBorder="1" applyFont="1">
      <alignment readingOrder="0" vertical="bottom"/>
    </xf>
    <xf borderId="0" fillId="0" fontId="4" numFmtId="165" xfId="0" applyAlignment="1" applyFont="1" applyNumberFormat="1">
      <alignment readingOrder="0"/>
    </xf>
    <xf borderId="0" fillId="0" fontId="4" numFmtId="166" xfId="0" applyAlignment="1" applyFont="1" applyNumberFormat="1">
      <alignment readingOrder="0"/>
    </xf>
    <xf borderId="0" fillId="0" fontId="4" numFmtId="166" xfId="0" applyFont="1" applyNumberFormat="1"/>
    <xf borderId="0" fillId="3" fontId="5" numFmtId="164" xfId="0" applyAlignment="1" applyFill="1" applyFont="1" applyNumberFormat="1">
      <alignment horizontal="left"/>
    </xf>
    <xf borderId="0" fillId="0" fontId="4" numFmtId="164" xfId="0" applyFont="1" applyNumberFormat="1"/>
    <xf borderId="0" fillId="0" fontId="4" numFmtId="0" xfId="0" applyAlignment="1" applyFont="1">
      <alignment readingOrder="0"/>
    </xf>
    <xf borderId="0" fillId="0" fontId="6" numFmtId="0" xfId="0" applyAlignment="1" applyFont="1">
      <alignment readingOrder="0" vertical="bottom"/>
    </xf>
    <xf borderId="1" fillId="0" fontId="7" numFmtId="0" xfId="0" applyAlignment="1" applyBorder="1" applyFont="1">
      <alignment readingOrder="0" vertical="bottom"/>
    </xf>
    <xf borderId="0" fillId="0" fontId="4" numFmtId="167" xfId="0" applyAlignment="1" applyFont="1" applyNumberFormat="1">
      <alignment readingOrder="0"/>
    </xf>
    <xf borderId="2" fillId="0" fontId="7" numFmtId="0" xfId="0" applyAlignment="1" applyBorder="1" applyFont="1">
      <alignment readingOrder="0" vertical="bottom"/>
    </xf>
    <xf borderId="0" fillId="0" fontId="8" numFmtId="0" xfId="0" applyAlignment="1" applyFont="1">
      <alignment readingOrder="0" shrinkToFit="0" wrapText="0"/>
    </xf>
    <xf borderId="0" fillId="0" fontId="6" numFmtId="165" xfId="0" applyAlignment="1" applyFont="1" applyNumberFormat="1">
      <alignment vertical="bottom"/>
    </xf>
    <xf borderId="0" fillId="0" fontId="6" numFmtId="0" xfId="0" applyAlignment="1" applyFont="1">
      <alignment vertical="bottom"/>
    </xf>
    <xf borderId="0" fillId="0" fontId="6" numFmtId="166" xfId="0" applyAlignment="1" applyFont="1" applyNumberFormat="1">
      <alignment horizontal="right" readingOrder="0" vertical="bottom"/>
    </xf>
    <xf borderId="0" fillId="0" fontId="9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0.75"/>
    <col customWidth="1" min="9" max="9" width="22.13"/>
    <col customWidth="1" min="10" max="10" width="25.38"/>
    <col customWidth="1" min="11" max="11" width="23.63"/>
    <col customWidth="1" min="13" max="13" width="18.38"/>
    <col customWidth="1" min="19" max="19" width="13.88"/>
    <col customWidth="1" min="21" max="21" width="17.63"/>
    <col customWidth="1" min="22" max="22" width="31.63"/>
    <col customWidth="1" min="24" max="24" width="20.63"/>
    <col customWidth="1" min="25" max="25" width="19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3" t="s">
        <v>12</v>
      </c>
      <c r="P1" s="4" t="s">
        <v>13</v>
      </c>
      <c r="Q1" s="4" t="s">
        <v>14</v>
      </c>
      <c r="R1" s="3" t="s">
        <v>15</v>
      </c>
      <c r="S1" s="4" t="s">
        <v>16</v>
      </c>
      <c r="T1" s="3" t="s">
        <v>17</v>
      </c>
      <c r="U1" s="4" t="s">
        <v>18</v>
      </c>
      <c r="V1" s="4" t="s">
        <v>19</v>
      </c>
      <c r="W1" s="4" t="s">
        <v>20</v>
      </c>
      <c r="X1" s="5"/>
      <c r="Y1" s="4" t="s">
        <v>21</v>
      </c>
    </row>
    <row r="2">
      <c r="A2" s="6" t="s">
        <v>22</v>
      </c>
      <c r="B2" s="7">
        <v>46059.0</v>
      </c>
      <c r="M2" s="8"/>
      <c r="N2" s="8">
        <v>50.0</v>
      </c>
      <c r="P2" s="8">
        <v>50.0</v>
      </c>
      <c r="Q2" s="9">
        <f t="shared" ref="Q2:Q25" si="2">N2-P2</f>
        <v>0</v>
      </c>
      <c r="R2" s="10">
        <f>SUM(N2:N30)</f>
        <v>50</v>
      </c>
      <c r="S2" s="11">
        <f t="shared" ref="S2:T2" si="1">SUM(P2:P30)</f>
        <v>50</v>
      </c>
      <c r="T2" s="9">
        <f t="shared" si="1"/>
        <v>0</v>
      </c>
      <c r="V2" s="10"/>
      <c r="W2" s="11">
        <f>S2</f>
        <v>50</v>
      </c>
      <c r="X2" s="12" t="s">
        <v>23</v>
      </c>
      <c r="Y2" s="11">
        <f>SUM(W2:W115)</f>
        <v>100</v>
      </c>
    </row>
    <row r="3">
      <c r="A3" s="12" t="s">
        <v>24</v>
      </c>
      <c r="B3" s="7">
        <v>46062.0</v>
      </c>
      <c r="E3" s="7"/>
      <c r="M3" s="8"/>
      <c r="N3" s="8"/>
      <c r="P3" s="8"/>
      <c r="Q3" s="9">
        <f t="shared" si="2"/>
        <v>0</v>
      </c>
      <c r="W3" s="8" t="s">
        <v>25</v>
      </c>
    </row>
    <row r="4">
      <c r="A4" s="6" t="s">
        <v>26</v>
      </c>
      <c r="B4" s="7">
        <v>46062.0</v>
      </c>
      <c r="M4" s="8"/>
      <c r="N4" s="8"/>
      <c r="P4" s="8"/>
      <c r="Q4" s="9">
        <f t="shared" si="2"/>
        <v>0</v>
      </c>
      <c r="U4" s="8"/>
      <c r="W4" s="8">
        <v>10.0</v>
      </c>
      <c r="X4" s="12" t="s">
        <v>27</v>
      </c>
    </row>
    <row r="5">
      <c r="A5" s="13"/>
      <c r="B5" s="7"/>
      <c r="M5" s="8"/>
      <c r="N5" s="8"/>
      <c r="P5" s="8"/>
      <c r="Q5" s="9">
        <f t="shared" si="2"/>
        <v>0</v>
      </c>
      <c r="U5" s="8"/>
      <c r="W5" s="8">
        <v>10.0</v>
      </c>
      <c r="X5" s="12" t="s">
        <v>28</v>
      </c>
    </row>
    <row r="6">
      <c r="A6" s="13" t="s">
        <v>29</v>
      </c>
      <c r="B6" s="7">
        <v>46064.0</v>
      </c>
      <c r="E6" s="7"/>
      <c r="M6" s="8"/>
      <c r="N6" s="8"/>
      <c r="P6" s="8"/>
      <c r="Q6" s="9">
        <f t="shared" si="2"/>
        <v>0</v>
      </c>
      <c r="W6" s="8">
        <v>10.0</v>
      </c>
      <c r="X6" s="12" t="s">
        <v>30</v>
      </c>
    </row>
    <row r="7">
      <c r="B7" s="7"/>
      <c r="E7" s="7"/>
      <c r="M7" s="8"/>
      <c r="N7" s="8"/>
      <c r="P7" s="8"/>
      <c r="Q7" s="9">
        <f t="shared" si="2"/>
        <v>0</v>
      </c>
      <c r="U7" s="8"/>
      <c r="W7" s="8">
        <v>10.0</v>
      </c>
      <c r="X7" s="12" t="s">
        <v>31</v>
      </c>
    </row>
    <row r="8">
      <c r="A8" s="14"/>
      <c r="B8" s="7"/>
      <c r="E8" s="7"/>
      <c r="M8" s="8"/>
      <c r="N8" s="8"/>
      <c r="P8" s="8"/>
      <c r="Q8" s="9">
        <f t="shared" si="2"/>
        <v>0</v>
      </c>
      <c r="U8" s="8"/>
      <c r="W8" s="8">
        <v>10.0</v>
      </c>
      <c r="X8" s="12" t="s">
        <v>32</v>
      </c>
    </row>
    <row r="9">
      <c r="A9" s="6"/>
      <c r="E9" s="7"/>
      <c r="M9" s="8"/>
      <c r="N9" s="8"/>
      <c r="P9" s="8"/>
      <c r="Q9" s="9">
        <f t="shared" si="2"/>
        <v>0</v>
      </c>
      <c r="U9" s="8"/>
      <c r="W9" s="8"/>
    </row>
    <row r="10">
      <c r="E10" s="15"/>
      <c r="M10" s="8"/>
      <c r="N10" s="8"/>
      <c r="P10" s="8"/>
      <c r="Q10" s="9">
        <f t="shared" si="2"/>
        <v>0</v>
      </c>
      <c r="U10" s="8"/>
      <c r="W10" s="8"/>
    </row>
    <row r="11">
      <c r="B11" s="7"/>
      <c r="E11" s="7"/>
      <c r="M11" s="8"/>
      <c r="N11" s="8"/>
      <c r="P11" s="8"/>
      <c r="Q11" s="9">
        <f t="shared" si="2"/>
        <v>0</v>
      </c>
      <c r="W11" s="8"/>
    </row>
    <row r="12">
      <c r="B12" s="7"/>
      <c r="M12" s="8"/>
      <c r="N12" s="8"/>
      <c r="P12" s="8"/>
      <c r="Q12" s="9">
        <f t="shared" si="2"/>
        <v>0</v>
      </c>
      <c r="U12" s="8"/>
      <c r="W12" s="8"/>
    </row>
    <row r="13">
      <c r="A13" s="13"/>
      <c r="B13" s="7"/>
      <c r="M13" s="8"/>
      <c r="N13" s="8"/>
      <c r="P13" s="8"/>
      <c r="Q13" s="9">
        <f t="shared" si="2"/>
        <v>0</v>
      </c>
      <c r="U13" s="8"/>
      <c r="W13" s="8"/>
    </row>
    <row r="14">
      <c r="A14" s="16"/>
      <c r="B14" s="7"/>
      <c r="E14" s="7"/>
      <c r="M14" s="8"/>
      <c r="N14" s="8"/>
      <c r="P14" s="8"/>
      <c r="Q14" s="9">
        <f t="shared" si="2"/>
        <v>0</v>
      </c>
      <c r="U14" s="8"/>
      <c r="W14" s="8"/>
    </row>
    <row r="15">
      <c r="A15" s="17"/>
      <c r="B15" s="7"/>
      <c r="M15" s="8"/>
      <c r="N15" s="8"/>
      <c r="P15" s="8"/>
      <c r="Q15" s="9">
        <f t="shared" si="2"/>
        <v>0</v>
      </c>
      <c r="U15" s="8"/>
      <c r="W15" s="8"/>
    </row>
    <row r="16">
      <c r="A16" s="17"/>
      <c r="B16" s="7"/>
      <c r="E16" s="7"/>
      <c r="M16" s="8"/>
      <c r="N16" s="8"/>
      <c r="P16" s="8"/>
      <c r="Q16" s="9">
        <f t="shared" si="2"/>
        <v>0</v>
      </c>
      <c r="W16" s="8"/>
    </row>
    <row r="17">
      <c r="B17" s="7"/>
      <c r="M17" s="8"/>
      <c r="N17" s="8"/>
      <c r="P17" s="8"/>
      <c r="Q17" s="9">
        <f t="shared" si="2"/>
        <v>0</v>
      </c>
      <c r="W17" s="8"/>
    </row>
    <row r="18">
      <c r="A18" s="13"/>
      <c r="B18" s="18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20"/>
      <c r="P18" s="8"/>
      <c r="Q18" s="9">
        <f t="shared" si="2"/>
        <v>0</v>
      </c>
      <c r="W18" s="8"/>
    </row>
    <row r="19">
      <c r="B19" s="7"/>
      <c r="N19" s="8"/>
      <c r="P19" s="8"/>
      <c r="Q19" s="9">
        <f t="shared" si="2"/>
        <v>0</v>
      </c>
      <c r="W19" s="8"/>
    </row>
    <row r="20">
      <c r="B20" s="7"/>
      <c r="N20" s="8"/>
      <c r="P20" s="8"/>
      <c r="Q20" s="9">
        <f t="shared" si="2"/>
        <v>0</v>
      </c>
      <c r="W20" s="8"/>
    </row>
    <row r="21">
      <c r="A21" s="21"/>
      <c r="N21" s="8"/>
      <c r="P21" s="8"/>
      <c r="Q21" s="9">
        <f t="shared" si="2"/>
        <v>0</v>
      </c>
      <c r="W21" s="8"/>
    </row>
    <row r="22">
      <c r="A22" s="14"/>
      <c r="N22" s="8"/>
      <c r="P22" s="8"/>
      <c r="Q22" s="9">
        <f t="shared" si="2"/>
        <v>0</v>
      </c>
      <c r="W22" s="8"/>
    </row>
    <row r="23">
      <c r="B23" s="7"/>
      <c r="N23" s="8"/>
      <c r="P23" s="8"/>
      <c r="Q23" s="9">
        <f t="shared" si="2"/>
        <v>0</v>
      </c>
      <c r="W23" s="8"/>
    </row>
    <row r="24">
      <c r="B24" s="7"/>
      <c r="N24" s="8"/>
      <c r="P24" s="8"/>
      <c r="Q24" s="9">
        <f t="shared" si="2"/>
        <v>0</v>
      </c>
    </row>
    <row r="25">
      <c r="N25" s="8"/>
      <c r="P25" s="8"/>
      <c r="Q25" s="9">
        <f t="shared" si="2"/>
        <v>0</v>
      </c>
    </row>
    <row r="26">
      <c r="A26" s="22"/>
      <c r="B26" s="7"/>
      <c r="E26" s="7"/>
      <c r="N26" s="8"/>
    </row>
    <row r="27">
      <c r="A27" s="22"/>
      <c r="B27" s="7"/>
      <c r="M27" s="8"/>
      <c r="N27" s="8"/>
    </row>
    <row r="28">
      <c r="B28" s="7"/>
      <c r="M28" s="8"/>
      <c r="N28" s="8"/>
      <c r="O28" s="8"/>
    </row>
    <row r="29">
      <c r="M29" s="8"/>
      <c r="O29" s="8"/>
    </row>
    <row r="30">
      <c r="M30" s="8"/>
      <c r="O30" s="8"/>
    </row>
    <row r="31">
      <c r="M31" s="8"/>
    </row>
    <row r="32">
      <c r="M32" s="8"/>
      <c r="O32" s="8"/>
    </row>
    <row r="33">
      <c r="M33" s="8"/>
      <c r="O33" s="8"/>
    </row>
    <row r="34">
      <c r="M34" s="8"/>
    </row>
    <row r="35">
      <c r="M35" s="8"/>
      <c r="O35" s="8"/>
    </row>
  </sheetData>
  <drawing r:id="rId1"/>
</worksheet>
</file>